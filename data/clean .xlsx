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тоимость жизни " sheetId="1" r:id="rId5"/>
    <sheet state="visible" name="Сводная таблица средняя стоимос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<sst xmlns="http://schemas.openxmlformats.org/spreadsheetml/2006/main" count="83" uniqueCount="52">
  <si>
    <t>City</t>
  </si>
  <si>
    <t>Country</t>
  </si>
  <si>
    <t>cost of living index</t>
  </si>
  <si>
    <t>rent index</t>
  </si>
  <si>
    <t xml:space="preserve">difference </t>
  </si>
  <si>
    <t xml:space="preserve">Zurich; </t>
  </si>
  <si>
    <t>Switzerland</t>
  </si>
  <si>
    <t>Geneva</t>
  </si>
  <si>
    <t>Basel</t>
  </si>
  <si>
    <t>Lausanne</t>
  </si>
  <si>
    <t>Lugano</t>
  </si>
  <si>
    <t>Bern</t>
  </si>
  <si>
    <t>New York</t>
  </si>
  <si>
    <t>United States</t>
  </si>
  <si>
    <t>Reykjavik</t>
  </si>
  <si>
    <t>Iceland</t>
  </si>
  <si>
    <t>Honolulu</t>
  </si>
  <si>
    <t>San Francisco</t>
  </si>
  <si>
    <t>Tel Aviv-Yafo</t>
  </si>
  <si>
    <t>Israel</t>
  </si>
  <si>
    <t>Seattle</t>
  </si>
  <si>
    <t>Oslo</t>
  </si>
  <si>
    <t>Norway</t>
  </si>
  <si>
    <t>Singapored</t>
  </si>
  <si>
    <t>Singapore</t>
  </si>
  <si>
    <t>London</t>
  </si>
  <si>
    <t>United Kingdom</t>
  </si>
  <si>
    <t>Washington</t>
  </si>
  <si>
    <t>San Jose</t>
  </si>
  <si>
    <t>Boston</t>
  </si>
  <si>
    <t>Charleston</t>
  </si>
  <si>
    <t>Copenhagen</t>
  </si>
  <si>
    <t>Denmark</t>
  </si>
  <si>
    <t>Bergen</t>
  </si>
  <si>
    <t>Oakland</t>
  </si>
  <si>
    <t>Trondheim</t>
  </si>
  <si>
    <t>Ramat Gan</t>
  </si>
  <si>
    <t>Berkeley</t>
  </si>
  <si>
    <t>Jerusalem</t>
  </si>
  <si>
    <t>Stavanger</t>
  </si>
  <si>
    <t>Amsterdam</t>
  </si>
  <si>
    <t>Netherlands</t>
  </si>
  <si>
    <t>San Diego</t>
  </si>
  <si>
    <t>Anchorage</t>
  </si>
  <si>
    <t>Минимум</t>
  </si>
  <si>
    <t>Среднее</t>
  </si>
  <si>
    <t>Медиана</t>
  </si>
  <si>
    <t>Максимум</t>
  </si>
  <si>
    <t>Топ 5 дорогих городов:Zurich; 
Geneva
Basel
Lausanne
Lugano</t>
  </si>
  <si>
    <t>Топ 5 дешевых городов: San Diego
Jerusalem
Charleston
New York
Bern</t>
  </si>
  <si>
    <t>AVERAGE из cost of living index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</si>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</sst>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2.0"/>
      <color rgb="FF000000"/>
      <name val="Arial"/>
    </font>
    <font>
      <b/>
      <color rgb="FF000000"/>
      <name val="Arial"/>
      <scheme val="minor"/>
    </font>
    <font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1F1F1"/>
        <bgColor rgb="FFF1F1F1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readingOrder="0"/>
    </xf>
    <xf borderId="0" fillId="2" fontId="2" numFmtId="4" xfId="0" applyAlignment="1" applyFill="1" applyFont="1" applyNumberFormat="1">
      <alignment horizontal="center" vertical="bottom"/>
    </xf>
    <xf borderId="0" fillId="3" fontId="2" numFmtId="4" xfId="0" applyAlignment="1" applyFill="1" applyFont="1" applyNumberFormat="1">
      <alignment horizontal="center" vertical="bottom"/>
    </xf>
    <xf borderId="0" fillId="0" fontId="3" numFmtId="0" xfId="0" applyAlignment="1" applyFont="1">
      <alignment horizontal="center" readingOrder="0"/>
    </xf>
    <xf borderId="0" fillId="0" fontId="0" numFmtId="4" xfId="0" applyAlignment="1" applyFont="1" applyNumberFormat="1">
      <alignment readingOrder="0"/>
    </xf>
    <xf borderId="0" fillId="3" fontId="4" numFmtId="4" xfId="0" applyAlignment="1" applyFont="1" applyNumberFormat="1">
      <alignment horizontal="right" readingOrder="0" vertical="bottom"/>
    </xf>
    <xf borderId="1" fillId="4" fontId="4" numFmtId="4" xfId="0" applyAlignment="1" applyBorder="1" applyFill="1" applyFont="1" applyNumberFormat="1">
      <alignment horizontal="right" readingOrder="0" vertical="bottom"/>
    </xf>
    <xf borderId="1" fillId="4" fontId="5" numFmtId="4" xfId="0" applyAlignment="1" applyBorder="1" applyFont="1" applyNumberFormat="1">
      <alignment horizontal="right" readingOrder="0"/>
    </xf>
    <xf borderId="1" fillId="5" fontId="6" numFmtId="0" xfId="0" applyAlignment="1" applyBorder="1" applyFill="1" applyFont="1">
      <alignment readingOrder="0"/>
    </xf>
    <xf borderId="0" fillId="0" fontId="7" numFmtId="0" xfId="0" applyAlignment="1" applyFont="1">
      <alignment horizontal="center" readingOrder="0"/>
    </xf>
    <xf borderId="1" fillId="3" fontId="4" numFmtId="4" xfId="0" applyAlignment="1" applyBorder="1" applyFont="1" applyNumberFormat="1">
      <alignment horizontal="right" readingOrder="0" vertical="bottom"/>
    </xf>
    <xf borderId="1" fillId="2" fontId="6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9" numFmtId="0" xfId="0" applyFont="1"/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10" numFmtId="0" xfId="0" applyBorder="1" applyFont="1"/>
    <xf borderId="0" fillId="2" fontId="2" numFmtId="0" xfId="0" applyAlignment="1" applyFont="1">
      <alignment horizontal="center" readingOrder="0" vertical="bottom"/>
    </xf>
    <xf borderId="0" fillId="0" fontId="4" numFmtId="4" xfId="0" applyAlignment="1" applyFont="1" applyNumberFormat="1">
      <alignment vertical="bottom"/>
    </xf>
    <xf borderId="1" fillId="2" fontId="4" numFmtId="0" xfId="0" applyAlignment="1" applyBorder="1" applyFont="1">
      <alignment vertical="bottom"/>
    </xf>
    <xf borderId="0" fillId="5" fontId="6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5" fontId="4" numFmtId="0" xfId="0" applyAlignment="1" applyFont="1">
      <alignment vertical="bottom"/>
    </xf>
    <xf borderId="0" fillId="0" fontId="9" numFmtId="4" xfId="0" applyFont="1" applyNumberFormat="1"/>
    <xf borderId="0" fillId="0" fontId="10" numFmtId="4" xfId="0" applyFont="1" applyNumberFormat="1"/>
    <xf borderId="0" fillId="0" fontId="9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 of living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'стоимость жизни 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'стоимость жизни '!$A$2:$A$31</c:f>
            </c:strRef>
          </c:cat>
          <c:val>
            <c:numRef>
              <c:f>'стоимость жизни '!$C$2:$C$31</c:f>
              <c:numCache/>
            </c:numRef>
          </c:val>
        </c:ser>
        <c:axId val="947711552"/>
        <c:axId val="621636215"/>
      </c:barChart>
      <c:catAx>
        <c:axId val="947711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636215"/>
      </c:catAx>
      <c:valAx>
        <c:axId val="621636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711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Rent index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'стоимость жизни 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'стоимость жизни '!$A$2:$A$31</c:f>
            </c:strRef>
          </c:cat>
          <c:val>
            <c:numRef>
              <c:f>'стоимость жизни '!$D$2:$D$31</c:f>
              <c:numCache/>
            </c:numRef>
          </c:val>
        </c:ser>
        <c:axId val="2006330874"/>
        <c:axId val="1886064639"/>
      </c:barChart>
      <c:catAx>
        <c:axId val="2006330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064639"/>
      </c:catAx>
      <c:valAx>
        <c:axId val="1886064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330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cost of living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'Сводная таблица средняя стоимос'!$B$1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средняя стоимос'!$A$2:$A$11</c:f>
            </c:strRef>
          </c:cat>
          <c:val>
            <c:numRef>
              <c:f>'Сводная таблица средняя стоимос'!$B$2:$B$11</c:f>
              <c:numCache/>
            </c:numRef>
          </c:val>
        </c:ser>
        <c:axId val="317767476"/>
        <c:axId val="446063535"/>
      </c:barChart>
      <c:catAx>
        <c:axId val="317767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063535"/>
      </c:catAx>
      <c:valAx>
        <c:axId val="446063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767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</xdr:row>
      <xdr:rowOff>9525</xdr:rowOff>
    </xdr:from>
    <xdr:ext cx="3676650" cy="22764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14</xdr:row>
      <xdr:rowOff>114300</xdr:rowOff>
    </xdr:from>
    <xdr:ext cx="3676650" cy="22764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0</xdr:row>
      <xdr:rowOff>0</xdr:rowOff>
    </xdr:from>
    <xdr:ext cx="3667125" cy="22669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31" sheet="стоимость жизни "/>
  </cacheSource>
  <cacheFields>
    <cacheField name="City" numFmtId="4">
      <sharedItems>
        <s v="Zurich; "/>
        <s v="Geneva"/>
        <s v="Basel"/>
        <s v="Lausanne"/>
        <s v="Lugano"/>
        <s v="Bern"/>
        <s v="New York"/>
        <s v="Reykjavik"/>
        <s v="Honolulu"/>
        <s v="San Francisco"/>
        <s v="Tel Aviv-Yafo"/>
        <s v="Seattle"/>
        <s v="Oslo"/>
        <s v="Singapored"/>
        <s v="London"/>
        <s v="Washington"/>
        <s v="San Jose"/>
        <s v="Boston"/>
        <s v="Charleston"/>
        <s v="Copenhagen"/>
        <s v="Bergen"/>
        <s v="Oakland"/>
        <s v="Trondheim"/>
        <s v="Ramat Gan"/>
        <s v="Berkeley"/>
        <s v="Jerusalem"/>
        <s v="Stavanger"/>
        <s v="Amsterdam"/>
        <s v="San Diego"/>
        <s v="Anchorage"/>
      </sharedItems>
    </cacheField>
    <cacheField name="Country" numFmtId="4">
      <sharedItems>
        <s v="Switzerland"/>
        <s v="United States"/>
        <s v="Iceland"/>
        <s v="Israel"/>
        <s v="Norway"/>
        <s v="Singapore"/>
        <s v="United Kingdom"/>
        <s v="Denmark"/>
        <s v="Netherlands"/>
      </sharedItems>
    </cacheField>
    <cacheField name="cost of living index" numFmtId="4">
      <sharedItems containsSemiMixedTypes="0" containsString="0" containsNumber="1">
        <n v="118.5"/>
        <n v="116.5"/>
        <n v="112.4"/>
        <n v="111.5"/>
        <n v="110.1"/>
        <n v="110.0"/>
        <n v="100.0"/>
        <n v="98.9"/>
        <n v="98.2"/>
        <n v="97.6"/>
        <n v="91.4"/>
        <n v="90.3"/>
        <n v="90.2"/>
        <n v="87.7"/>
        <n v="87.5"/>
        <n v="87.3"/>
        <n v="86.4"/>
        <n v="86.2"/>
        <n v="86.0"/>
        <n v="85.7"/>
        <n v="85.6"/>
        <n v="85.2"/>
        <n v="84.9"/>
        <n v="83.7"/>
        <n v="83.5"/>
        <n v="83.0"/>
        <n v="82.7"/>
        <n v="82.6"/>
        <n v="82.0"/>
        <n v="81.5"/>
      </sharedItems>
    </cacheField>
    <cacheField name="rent index" numFmtId="4">
      <sharedItems containsSemiMixedTypes="0" containsString="0" containsNumber="1">
        <n v="80.5"/>
        <n v="77.7"/>
        <n v="74.5"/>
        <n v="73.1"/>
        <n v="72.6"/>
        <n v="70.6"/>
        <n v="70.1"/>
        <n v="69.9"/>
        <n v="69.0"/>
        <n v="67.4"/>
        <n v="65.1"/>
        <n v="64.6"/>
        <n v="63.9"/>
        <n v="63.1"/>
        <n v="62.6"/>
        <n v="61.2"/>
        <n v="60.2"/>
        <n v="60.0"/>
        <n v="59.7"/>
        <n v="59.5"/>
        <n v="58.2"/>
        <n v="56.5"/>
        <n v="56.6"/>
        <n v="55.2"/>
        <n v="55.0"/>
        <n v="54.8"/>
        <n v="53.8"/>
        <n v="51.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средняя стоимос" cacheId="0" dataCaption="" compact="0" compactData="0">
  <location ref="A1:B11" firstHeaderRow="0" firstDataRow="1" firstDataCol="0"/>
  <pivotFields>
    <pivotField name="Cit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ountry" axis="axisRow" compact="0" numFmtId="4" outline="0" multipleItemSelectionAllowed="1" showAll="0" sortType="ascending">
      <items>
        <item x="7"/>
        <item x="2"/>
        <item x="3"/>
        <item x="8"/>
        <item x="4"/>
        <item x="5"/>
        <item x="0"/>
        <item x="6"/>
        <item x="1"/>
        <item t="default"/>
      </items>
    </pivotField>
    <pivotField name="cost of living index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nt index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1"/>
  </rowFields>
  <dataFields>
    <dataField name="AVERAGE of cost of living index" fld="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5" t="s">
        <v>5</v>
      </c>
      <c r="B2" s="5" t="s">
        <v>6</v>
      </c>
      <c r="C2" s="6">
        <v>118.5</v>
      </c>
      <c r="D2" s="7">
        <v>80.5</v>
      </c>
      <c r="E2" s="8">
        <f t="shared" ref="E2:E31" si="1">C2-D2</f>
        <v>38</v>
      </c>
      <c r="F2" s="9"/>
      <c r="G2" s="10"/>
      <c r="H2" s="10"/>
    </row>
    <row r="3">
      <c r="A3" s="5" t="s">
        <v>7</v>
      </c>
      <c r="B3" s="5" t="s">
        <v>6</v>
      </c>
      <c r="C3" s="7">
        <v>116.5</v>
      </c>
      <c r="D3" s="11">
        <v>77.7</v>
      </c>
      <c r="E3" s="8">
        <f t="shared" si="1"/>
        <v>38.8</v>
      </c>
      <c r="F3" s="12"/>
      <c r="G3" s="13"/>
      <c r="H3" s="13"/>
    </row>
    <row r="4">
      <c r="A4" s="5" t="s">
        <v>8</v>
      </c>
      <c r="B4" s="5" t="s">
        <v>6</v>
      </c>
      <c r="C4" s="11">
        <v>112.4</v>
      </c>
      <c r="D4" s="7">
        <v>74.5</v>
      </c>
      <c r="E4" s="8">
        <f t="shared" si="1"/>
        <v>37.9</v>
      </c>
      <c r="F4" s="9"/>
      <c r="G4" s="13"/>
      <c r="H4" s="13"/>
    </row>
    <row r="5">
      <c r="A5" s="5" t="s">
        <v>9</v>
      </c>
      <c r="B5" s="5" t="s">
        <v>6</v>
      </c>
      <c r="C5" s="7">
        <v>111.5</v>
      </c>
      <c r="D5" s="11">
        <v>73.1</v>
      </c>
      <c r="E5" s="8">
        <f t="shared" si="1"/>
        <v>38.4</v>
      </c>
      <c r="F5" s="12"/>
      <c r="G5" s="13"/>
      <c r="H5" s="13"/>
    </row>
    <row r="6">
      <c r="A6" s="5" t="s">
        <v>10</v>
      </c>
      <c r="B6" s="5" t="s">
        <v>6</v>
      </c>
      <c r="C6" s="11">
        <v>110.1</v>
      </c>
      <c r="D6" s="7">
        <v>73.1</v>
      </c>
      <c r="E6" s="8">
        <f t="shared" si="1"/>
        <v>37</v>
      </c>
      <c r="F6" s="9"/>
      <c r="G6" s="13"/>
      <c r="H6" s="13"/>
    </row>
    <row r="7">
      <c r="A7" s="5" t="s">
        <v>11</v>
      </c>
      <c r="B7" s="5" t="s">
        <v>6</v>
      </c>
      <c r="C7" s="7">
        <v>110.0</v>
      </c>
      <c r="D7" s="11">
        <v>72.6</v>
      </c>
      <c r="E7" s="8">
        <f t="shared" si="1"/>
        <v>37.4</v>
      </c>
      <c r="F7" s="12"/>
      <c r="G7" s="13"/>
      <c r="H7" s="13"/>
    </row>
    <row r="8">
      <c r="A8" s="5" t="s">
        <v>12</v>
      </c>
      <c r="B8" s="5" t="s">
        <v>13</v>
      </c>
      <c r="C8" s="11">
        <v>100.0</v>
      </c>
      <c r="D8" s="7">
        <v>70.6</v>
      </c>
      <c r="E8" s="8">
        <f t="shared" si="1"/>
        <v>29.4</v>
      </c>
      <c r="F8" s="9"/>
      <c r="G8" s="13"/>
      <c r="H8" s="13"/>
    </row>
    <row r="9">
      <c r="A9" s="5" t="s">
        <v>14</v>
      </c>
      <c r="B9" s="5" t="s">
        <v>15</v>
      </c>
      <c r="C9" s="7">
        <v>98.9</v>
      </c>
      <c r="D9" s="11">
        <v>70.1</v>
      </c>
      <c r="E9" s="8">
        <f t="shared" si="1"/>
        <v>28.8</v>
      </c>
      <c r="F9" s="12"/>
      <c r="G9" s="13"/>
      <c r="H9" s="13"/>
    </row>
    <row r="10">
      <c r="A10" s="5" t="s">
        <v>16</v>
      </c>
      <c r="B10" s="5" t="s">
        <v>13</v>
      </c>
      <c r="C10" s="11">
        <v>98.2</v>
      </c>
      <c r="D10" s="7">
        <v>69.9</v>
      </c>
      <c r="E10" s="8">
        <f t="shared" si="1"/>
        <v>28.3</v>
      </c>
      <c r="F10" s="9"/>
      <c r="G10" s="13"/>
      <c r="H10" s="13"/>
    </row>
    <row r="11">
      <c r="A11" s="5" t="s">
        <v>17</v>
      </c>
      <c r="B11" s="5" t="s">
        <v>13</v>
      </c>
      <c r="C11" s="7">
        <v>97.6</v>
      </c>
      <c r="D11" s="11">
        <v>69.0</v>
      </c>
      <c r="E11" s="8">
        <f t="shared" si="1"/>
        <v>28.6</v>
      </c>
      <c r="F11" s="12"/>
      <c r="G11" s="13"/>
      <c r="H11" s="13"/>
    </row>
    <row r="12">
      <c r="A12" s="5" t="s">
        <v>18</v>
      </c>
      <c r="B12" s="5" t="s">
        <v>19</v>
      </c>
      <c r="C12" s="11">
        <v>91.4</v>
      </c>
      <c r="D12" s="7">
        <v>69.0</v>
      </c>
      <c r="E12" s="8">
        <f t="shared" si="1"/>
        <v>22.4</v>
      </c>
      <c r="F12" s="9"/>
      <c r="G12" s="13"/>
      <c r="H12" s="13"/>
    </row>
    <row r="13">
      <c r="A13" s="5" t="s">
        <v>20</v>
      </c>
      <c r="B13" s="5" t="s">
        <v>13</v>
      </c>
      <c r="C13" s="7">
        <v>90.3</v>
      </c>
      <c r="D13" s="11">
        <v>67.4</v>
      </c>
      <c r="E13" s="8">
        <f t="shared" si="1"/>
        <v>22.9</v>
      </c>
      <c r="F13" s="12"/>
      <c r="G13" s="13"/>
      <c r="H13" s="13"/>
    </row>
    <row r="14">
      <c r="A14" s="5" t="s">
        <v>21</v>
      </c>
      <c r="B14" s="5" t="s">
        <v>22</v>
      </c>
      <c r="C14" s="11">
        <v>90.2</v>
      </c>
      <c r="D14" s="7">
        <v>65.1</v>
      </c>
      <c r="E14" s="8">
        <f t="shared" si="1"/>
        <v>25.1</v>
      </c>
      <c r="F14" s="9"/>
      <c r="G14" s="13"/>
      <c r="H14" s="13"/>
    </row>
    <row r="15">
      <c r="A15" s="5" t="s">
        <v>23</v>
      </c>
      <c r="B15" s="5" t="s">
        <v>24</v>
      </c>
      <c r="C15" s="7">
        <v>87.7</v>
      </c>
      <c r="D15" s="11">
        <v>64.6</v>
      </c>
      <c r="E15" s="8">
        <f t="shared" si="1"/>
        <v>23.1</v>
      </c>
      <c r="F15" s="12"/>
      <c r="G15" s="13"/>
      <c r="H15" s="13"/>
    </row>
    <row r="16">
      <c r="A16" s="5" t="s">
        <v>25</v>
      </c>
      <c r="B16" s="5" t="s">
        <v>26</v>
      </c>
      <c r="C16" s="11">
        <v>87.5</v>
      </c>
      <c r="D16" s="7">
        <v>63.9</v>
      </c>
      <c r="E16" s="8">
        <f t="shared" si="1"/>
        <v>23.6</v>
      </c>
      <c r="F16" s="9"/>
      <c r="G16" s="13"/>
      <c r="H16" s="13"/>
    </row>
    <row r="17">
      <c r="A17" s="5" t="s">
        <v>27</v>
      </c>
      <c r="B17" s="5" t="s">
        <v>13</v>
      </c>
      <c r="C17" s="7">
        <v>87.3</v>
      </c>
      <c r="D17" s="11">
        <v>63.1</v>
      </c>
      <c r="E17" s="8">
        <f t="shared" si="1"/>
        <v>24.2</v>
      </c>
      <c r="F17" s="12"/>
      <c r="G17" s="13"/>
      <c r="H17" s="13"/>
    </row>
    <row r="18">
      <c r="A18" s="5" t="s">
        <v>28</v>
      </c>
      <c r="B18" s="5" t="s">
        <v>13</v>
      </c>
      <c r="C18" s="11">
        <v>86.4</v>
      </c>
      <c r="D18" s="7">
        <v>62.6</v>
      </c>
      <c r="E18" s="8">
        <f t="shared" si="1"/>
        <v>23.8</v>
      </c>
      <c r="F18" s="9"/>
      <c r="G18" s="13"/>
      <c r="H18" s="13"/>
    </row>
    <row r="19">
      <c r="A19" s="5" t="s">
        <v>29</v>
      </c>
      <c r="B19" s="5" t="s">
        <v>13</v>
      </c>
      <c r="C19" s="7">
        <v>86.2</v>
      </c>
      <c r="D19" s="11">
        <v>61.2</v>
      </c>
      <c r="E19" s="8">
        <f t="shared" si="1"/>
        <v>25</v>
      </c>
      <c r="F19" s="12"/>
      <c r="G19" s="13"/>
      <c r="H19" s="13"/>
    </row>
    <row r="20">
      <c r="A20" s="5" t="s">
        <v>30</v>
      </c>
      <c r="B20" s="5" t="s">
        <v>13</v>
      </c>
      <c r="C20" s="11">
        <v>86.0</v>
      </c>
      <c r="D20" s="7">
        <v>60.2</v>
      </c>
      <c r="E20" s="8">
        <f t="shared" si="1"/>
        <v>25.8</v>
      </c>
      <c r="F20" s="9"/>
      <c r="G20" s="13"/>
      <c r="H20" s="13"/>
    </row>
    <row r="21">
      <c r="A21" s="5" t="s">
        <v>31</v>
      </c>
      <c r="B21" s="5" t="s">
        <v>32</v>
      </c>
      <c r="C21" s="7">
        <v>85.7</v>
      </c>
      <c r="D21" s="11">
        <v>60.0</v>
      </c>
      <c r="E21" s="8">
        <f t="shared" si="1"/>
        <v>25.7</v>
      </c>
      <c r="F21" s="12"/>
      <c r="G21" s="13"/>
      <c r="H21" s="13"/>
    </row>
    <row r="22">
      <c r="A22" s="5" t="s">
        <v>33</v>
      </c>
      <c r="B22" s="5" t="s">
        <v>22</v>
      </c>
      <c r="C22" s="11">
        <v>85.6</v>
      </c>
      <c r="D22" s="7">
        <v>59.7</v>
      </c>
      <c r="E22" s="8">
        <f t="shared" si="1"/>
        <v>25.9</v>
      </c>
      <c r="F22" s="9"/>
      <c r="G22" s="13"/>
      <c r="H22" s="13"/>
    </row>
    <row r="23">
      <c r="A23" s="5" t="s">
        <v>34</v>
      </c>
      <c r="B23" s="5" t="s">
        <v>13</v>
      </c>
      <c r="C23" s="7">
        <v>85.2</v>
      </c>
      <c r="D23" s="11">
        <v>59.5</v>
      </c>
      <c r="E23" s="8">
        <f t="shared" si="1"/>
        <v>25.7</v>
      </c>
      <c r="F23" s="12"/>
      <c r="G23" s="13"/>
      <c r="H23" s="13"/>
    </row>
    <row r="24">
      <c r="A24" s="5" t="s">
        <v>35</v>
      </c>
      <c r="B24" s="5" t="s">
        <v>22</v>
      </c>
      <c r="C24" s="11">
        <v>84.9</v>
      </c>
      <c r="D24" s="7">
        <v>58.2</v>
      </c>
      <c r="E24" s="8">
        <f t="shared" si="1"/>
        <v>26.7</v>
      </c>
      <c r="F24" s="9"/>
      <c r="G24" s="13"/>
      <c r="H24" s="13"/>
    </row>
    <row r="25">
      <c r="A25" s="5" t="s">
        <v>36</v>
      </c>
      <c r="B25" s="5" t="s">
        <v>19</v>
      </c>
      <c r="C25" s="7">
        <v>83.7</v>
      </c>
      <c r="D25" s="11">
        <v>56.5</v>
      </c>
      <c r="E25" s="8">
        <f t="shared" si="1"/>
        <v>27.2</v>
      </c>
      <c r="F25" s="12"/>
      <c r="G25" s="13"/>
      <c r="H25" s="13"/>
    </row>
    <row r="26">
      <c r="A26" s="5" t="s">
        <v>37</v>
      </c>
      <c r="B26" s="5" t="s">
        <v>13</v>
      </c>
      <c r="C26" s="11">
        <v>83.5</v>
      </c>
      <c r="D26" s="7">
        <v>56.6</v>
      </c>
      <c r="E26" s="8">
        <f t="shared" si="1"/>
        <v>26.9</v>
      </c>
      <c r="F26" s="9"/>
      <c r="G26" s="13"/>
      <c r="H26" s="13"/>
    </row>
    <row r="27">
      <c r="A27" s="5" t="s">
        <v>38</v>
      </c>
      <c r="B27" s="5" t="s">
        <v>19</v>
      </c>
      <c r="C27" s="7">
        <v>83.0</v>
      </c>
      <c r="D27" s="11">
        <v>55.2</v>
      </c>
      <c r="E27" s="8">
        <f t="shared" si="1"/>
        <v>27.8</v>
      </c>
      <c r="F27" s="12"/>
      <c r="G27" s="13"/>
      <c r="H27" s="13"/>
    </row>
    <row r="28">
      <c r="A28" s="5" t="s">
        <v>39</v>
      </c>
      <c r="B28" s="5" t="s">
        <v>22</v>
      </c>
      <c r="C28" s="11">
        <v>82.7</v>
      </c>
      <c r="D28" s="7">
        <v>55.0</v>
      </c>
      <c r="E28" s="8">
        <f t="shared" si="1"/>
        <v>27.7</v>
      </c>
      <c r="F28" s="9"/>
      <c r="G28" s="13"/>
      <c r="H28" s="13"/>
    </row>
    <row r="29">
      <c r="A29" s="5" t="s">
        <v>40</v>
      </c>
      <c r="B29" s="5" t="s">
        <v>41</v>
      </c>
      <c r="C29" s="7">
        <v>82.6</v>
      </c>
      <c r="D29" s="11">
        <v>54.8</v>
      </c>
      <c r="E29" s="8">
        <f t="shared" si="1"/>
        <v>27.8</v>
      </c>
      <c r="F29" s="12"/>
      <c r="G29" s="13"/>
      <c r="H29" s="13"/>
    </row>
    <row r="30">
      <c r="A30" s="5" t="s">
        <v>42</v>
      </c>
      <c r="B30" s="5" t="s">
        <v>13</v>
      </c>
      <c r="C30" s="11">
        <v>82.0</v>
      </c>
      <c r="D30" s="7">
        <v>53.8</v>
      </c>
      <c r="E30" s="8">
        <f t="shared" si="1"/>
        <v>28.2</v>
      </c>
      <c r="F30" s="9"/>
      <c r="G30" s="13"/>
      <c r="H30" s="13"/>
    </row>
    <row r="31">
      <c r="A31" s="5" t="s">
        <v>43</v>
      </c>
      <c r="B31" s="5" t="s">
        <v>13</v>
      </c>
      <c r="C31" s="7">
        <v>81.5</v>
      </c>
      <c r="D31" s="11">
        <v>51.9</v>
      </c>
      <c r="E31" s="8">
        <f t="shared" si="1"/>
        <v>29.6</v>
      </c>
      <c r="F31" s="12"/>
      <c r="G31" s="13"/>
      <c r="H31" s="13"/>
    </row>
    <row r="32">
      <c r="A32" s="14" t="s">
        <v>44</v>
      </c>
      <c r="B32" s="15">
        <f>SMALL(C2:C31, 1)</f>
        <v>81.5</v>
      </c>
      <c r="C32" s="16"/>
      <c r="D32" s="17"/>
      <c r="E32" s="15"/>
      <c r="F32" s="18"/>
    </row>
    <row r="33">
      <c r="A33" s="19" t="s">
        <v>45</v>
      </c>
      <c r="B33" s="20">
        <f>AVERAGE(C3:C32)</f>
        <v>92.02068966</v>
      </c>
      <c r="C33" s="16"/>
      <c r="D33" s="21"/>
      <c r="E33" s="15"/>
      <c r="F33" s="22"/>
      <c r="G33" s="13"/>
      <c r="H33" s="13"/>
    </row>
    <row r="34">
      <c r="A34" s="23" t="s">
        <v>46</v>
      </c>
      <c r="B34" s="20">
        <f>MEDIAN(C3:C32)</f>
        <v>87.3</v>
      </c>
      <c r="C34" s="16"/>
      <c r="D34" s="24"/>
      <c r="E34" s="15"/>
    </row>
    <row r="35">
      <c r="A35" s="4" t="s">
        <v>47</v>
      </c>
      <c r="B35" s="25">
        <f>MAX(C2:C31)</f>
        <v>118.5</v>
      </c>
      <c r="C35" s="16"/>
      <c r="D35" s="16"/>
      <c r="E35" s="15"/>
      <c r="I35" s="26"/>
    </row>
    <row r="36">
      <c r="A36" s="27" t="s">
        <v>48</v>
      </c>
      <c r="B36" s="15"/>
      <c r="C36" s="16"/>
      <c r="D36" s="16"/>
      <c r="E36" s="15"/>
    </row>
    <row r="37">
      <c r="A37" s="27" t="s">
        <v>49</v>
      </c>
      <c r="B37" s="15"/>
      <c r="C37" s="28"/>
      <c r="D37" s="16"/>
      <c r="E37" s="15"/>
    </row>
    <row r="38">
      <c r="A38" s="15"/>
      <c r="B38" s="15"/>
      <c r="C38" s="16"/>
      <c r="D38" s="16"/>
      <c r="E38" s="15"/>
    </row>
    <row r="39">
      <c r="A39" s="15"/>
      <c r="B39" s="15"/>
      <c r="C39" s="15"/>
      <c r="D39" s="15"/>
      <c r="E39" s="15"/>
    </row>
    <row r="40">
      <c r="A40" s="15"/>
      <c r="B40" s="15"/>
      <c r="C40" s="15"/>
      <c r="D40" s="15"/>
      <c r="E40" s="15"/>
    </row>
    <row r="41">
      <c r="A41" s="15"/>
      <c r="B41" s="15"/>
      <c r="C41" s="15"/>
      <c r="D41" s="15"/>
      <c r="E41" s="15"/>
    </row>
    <row r="42">
      <c r="A42" s="15"/>
      <c r="B42" s="15"/>
      <c r="C42" s="15"/>
      <c r="D42" s="15"/>
      <c r="E42" s="15"/>
    </row>
    <row r="43">
      <c r="A43" s="15"/>
      <c r="B43" s="15"/>
      <c r="C43" s="15"/>
      <c r="D43" s="15"/>
      <c r="E43" s="15"/>
    </row>
    <row r="44">
      <c r="A44" s="15"/>
      <c r="B44" s="15"/>
      <c r="C44" s="15"/>
      <c r="D44" s="15"/>
      <c r="E44" s="15"/>
    </row>
    <row r="45">
      <c r="A45" s="15"/>
      <c r="B45" s="15"/>
      <c r="C45" s="15"/>
      <c r="D45" s="15"/>
      <c r="E45" s="15"/>
    </row>
    <row r="46">
      <c r="A46" s="15"/>
      <c r="B46" s="15"/>
      <c r="C46" s="15"/>
      <c r="D46" s="15"/>
      <c r="E46" s="15"/>
    </row>
    <row r="47">
      <c r="A47" s="15"/>
      <c r="B47" s="15"/>
      <c r="C47" s="15"/>
      <c r="D47" s="15"/>
      <c r="E47" s="15"/>
    </row>
    <row r="48">
      <c r="A48" s="15"/>
      <c r="B48" s="15"/>
      <c r="C48" s="15"/>
      <c r="D48" s="15"/>
      <c r="E48" s="15"/>
    </row>
  </sheetData>
  <conditionalFormatting sqref="C1:C31">
    <cfRule type="colorScale" priority="1">
      <colorScale>
        <cfvo type="min"/>
        <cfvo type="max"/>
        <color rgb="FF00FF00"/>
        <color rgb="FFFF0000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